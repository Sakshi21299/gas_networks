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Gaslib_40\"/>
    </mc:Choice>
  </mc:AlternateContent>
  <xr:revisionPtr revIDLastSave="0" documentId="13_ncr:1_{D865C29D-1C06-4F08-883B-9779052C0876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Nodes" sheetId="1" r:id="rId1"/>
    <sheet name="Pipes" sheetId="2" r:id="rId2"/>
    <sheet name="Stations" sheetId="3" r:id="rId3"/>
    <sheet name="Ar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" i="2"/>
</calcChain>
</file>

<file path=xl/sharedStrings.xml><?xml version="1.0" encoding="utf-8"?>
<sst xmlns="http://schemas.openxmlformats.org/spreadsheetml/2006/main" count="245" uniqueCount="107">
  <si>
    <t>source</t>
  </si>
  <si>
    <t>pMin</t>
  </si>
  <si>
    <t>pMax</t>
  </si>
  <si>
    <t>height</t>
  </si>
  <si>
    <t>lat</t>
  </si>
  <si>
    <t>long</t>
  </si>
  <si>
    <t>sink_4</t>
  </si>
  <si>
    <t>sink_28</t>
  </si>
  <si>
    <t>innode_1</t>
  </si>
  <si>
    <t>sink_23</t>
  </si>
  <si>
    <t>sink_12</t>
  </si>
  <si>
    <t>sink_2</t>
  </si>
  <si>
    <t>innode_4</t>
  </si>
  <si>
    <t>innode_2</t>
  </si>
  <si>
    <t>sink_24</t>
  </si>
  <si>
    <t>innode_6</t>
  </si>
  <si>
    <t>sink_22</t>
  </si>
  <si>
    <t>sink_21</t>
  </si>
  <si>
    <t>sink_11</t>
  </si>
  <si>
    <t>sink_7</t>
  </si>
  <si>
    <t>sink_13</t>
  </si>
  <si>
    <t>sink_26</t>
  </si>
  <si>
    <t>innode_5</t>
  </si>
  <si>
    <t>sink_3</t>
  </si>
  <si>
    <t>sink_15</t>
  </si>
  <si>
    <t>sink_5</t>
  </si>
  <si>
    <t>sink_27</t>
  </si>
  <si>
    <t>sink_16</t>
  </si>
  <si>
    <t>sink_14</t>
  </si>
  <si>
    <t>source_2</t>
  </si>
  <si>
    <t>source_3</t>
  </si>
  <si>
    <t>source_1</t>
  </si>
  <si>
    <t>sink_20</t>
  </si>
  <si>
    <t>innode_7</t>
  </si>
  <si>
    <t>sink_6</t>
  </si>
  <si>
    <t>innode_8</t>
  </si>
  <si>
    <t>sink_8</t>
  </si>
  <si>
    <t>sink_25</t>
  </si>
  <si>
    <t>sink_17</t>
  </si>
  <si>
    <t>sink_10</t>
  </si>
  <si>
    <t>sink_19</t>
  </si>
  <si>
    <t>sink_9</t>
  </si>
  <si>
    <t>sink_1</t>
  </si>
  <si>
    <t>sink_18</t>
  </si>
  <si>
    <t>sink_29</t>
  </si>
  <si>
    <t>innode_3</t>
  </si>
  <si>
    <t>length</t>
  </si>
  <si>
    <t>A</t>
  </si>
  <si>
    <t>omega</t>
  </si>
  <si>
    <t>diameter</t>
  </si>
  <si>
    <t>roughness</t>
  </si>
  <si>
    <t>Nvol</t>
  </si>
  <si>
    <t>MMgas</t>
  </si>
  <si>
    <t>Tgas</t>
  </si>
  <si>
    <t>xCH4</t>
  </si>
  <si>
    <t>Z</t>
  </si>
  <si>
    <t>pipe_38</t>
  </si>
  <si>
    <t>pipe_35</t>
  </si>
  <si>
    <t>pipe_1</t>
  </si>
  <si>
    <t>pipe_30</t>
  </si>
  <si>
    <t>pipe_2</t>
  </si>
  <si>
    <t>pipe_27</t>
  </si>
  <si>
    <t>pipe_12</t>
  </si>
  <si>
    <t>pipe_10</t>
  </si>
  <si>
    <t>pipe_31</t>
  </si>
  <si>
    <t>pipe_14</t>
  </si>
  <si>
    <t>pipe_3</t>
  </si>
  <si>
    <t>pipe_29</t>
  </si>
  <si>
    <t>pipe_19</t>
  </si>
  <si>
    <t>pipe_5</t>
  </si>
  <si>
    <t>pipe_20</t>
  </si>
  <si>
    <t>pipe_33</t>
  </si>
  <si>
    <t>pipe_13</t>
  </si>
  <si>
    <t>pipe_37</t>
  </si>
  <si>
    <t>pipe_22</t>
  </si>
  <si>
    <t>pipe_39</t>
  </si>
  <si>
    <t>pipe_34</t>
  </si>
  <si>
    <t>pipe_23</t>
  </si>
  <si>
    <t>pipe_21</t>
  </si>
  <si>
    <t>pipe_9</t>
  </si>
  <si>
    <t>pipe_28</t>
  </si>
  <si>
    <t>pipe_8</t>
  </si>
  <si>
    <t>pipe_15</t>
  </si>
  <si>
    <t>pipe_4</t>
  </si>
  <si>
    <t>pipe_16</t>
  </si>
  <si>
    <t>pipe_6</t>
  </si>
  <si>
    <t>pipe_32</t>
  </si>
  <si>
    <t>pipe_24</t>
  </si>
  <si>
    <t>pipe_18</t>
  </si>
  <si>
    <t>pipe_26</t>
  </si>
  <si>
    <t>pipe_7</t>
  </si>
  <si>
    <t>pipe_17</t>
  </si>
  <si>
    <t>pipe_25</t>
  </si>
  <si>
    <t>pipe_36</t>
  </si>
  <si>
    <t>pipe_11</t>
  </si>
  <si>
    <t>pInMax</t>
  </si>
  <si>
    <t>pInMin</t>
  </si>
  <si>
    <t>pOutMax</t>
  </si>
  <si>
    <t>max_power</t>
  </si>
  <si>
    <t>compressorStation_4</t>
  </si>
  <si>
    <t>compressorStation_1</t>
  </si>
  <si>
    <t>compressorStation_5</t>
  </si>
  <si>
    <t>compressorStation_2</t>
  </si>
  <si>
    <t>compressorStation_6</t>
  </si>
  <si>
    <t>compressorStation_3</t>
  </si>
  <si>
    <t>nodeIN</t>
  </si>
  <si>
    <t>nodeOUT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</si>
</sst>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M24" sqref="M24"/>
    </sheetView>
  </sheetViews>
  <sheetFormatPr defaultRowHeight="14.4" x14ac:dyDescent="0.3"/>
  <sheetData>
    <row r="1" spans="1:7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C2">
        <v>101325</v>
      </c>
      <c r="D2">
        <v>8101325</v>
      </c>
      <c r="E2">
        <v>0</v>
      </c>
      <c r="F2">
        <v>47.702624478300002</v>
      </c>
      <c r="G2">
        <v>7.1514568006000001</v>
      </c>
    </row>
    <row r="3" spans="1:7" x14ac:dyDescent="0.3">
      <c r="A3" t="s">
        <v>7</v>
      </c>
      <c r="C3">
        <v>101325</v>
      </c>
      <c r="D3">
        <v>8101325</v>
      </c>
      <c r="E3">
        <v>0</v>
      </c>
      <c r="F3">
        <v>48.879150209700001</v>
      </c>
      <c r="G3">
        <v>6.40592572072</v>
      </c>
    </row>
    <row r="4" spans="1:7" x14ac:dyDescent="0.3">
      <c r="A4" t="s">
        <v>8</v>
      </c>
      <c r="C4">
        <v>101325</v>
      </c>
      <c r="D4">
        <v>8101325</v>
      </c>
      <c r="E4">
        <v>0</v>
      </c>
      <c r="F4">
        <v>48.681167187500002</v>
      </c>
      <c r="G4">
        <v>8.4621655320400002</v>
      </c>
    </row>
    <row r="5" spans="1:7" x14ac:dyDescent="0.3">
      <c r="A5" t="s">
        <v>9</v>
      </c>
      <c r="C5">
        <v>101325</v>
      </c>
      <c r="D5">
        <v>8101325</v>
      </c>
      <c r="E5">
        <v>0</v>
      </c>
      <c r="F5">
        <v>48.9965039215</v>
      </c>
      <c r="G5">
        <v>6.9854010493200001</v>
      </c>
    </row>
    <row r="6" spans="1:7" x14ac:dyDescent="0.3">
      <c r="A6" t="s">
        <v>10</v>
      </c>
      <c r="C6">
        <v>101325</v>
      </c>
      <c r="D6">
        <v>8101325</v>
      </c>
      <c r="E6">
        <v>0</v>
      </c>
      <c r="F6">
        <v>46.936199132600002</v>
      </c>
      <c r="G6">
        <v>7.4443755311900004</v>
      </c>
    </row>
    <row r="7" spans="1:7" x14ac:dyDescent="0.3">
      <c r="A7" t="s">
        <v>11</v>
      </c>
      <c r="C7">
        <v>101325</v>
      </c>
      <c r="D7">
        <v>8101325</v>
      </c>
      <c r="E7">
        <v>0</v>
      </c>
      <c r="F7">
        <v>48.459701438000003</v>
      </c>
      <c r="G7">
        <v>6.73248116159</v>
      </c>
    </row>
    <row r="8" spans="1:7" x14ac:dyDescent="0.3">
      <c r="A8" t="s">
        <v>12</v>
      </c>
      <c r="C8">
        <v>101325</v>
      </c>
      <c r="D8">
        <v>8101325</v>
      </c>
      <c r="E8">
        <v>0</v>
      </c>
      <c r="F8">
        <v>49.740309504099997</v>
      </c>
      <c r="G8">
        <v>8.9411702828399999</v>
      </c>
    </row>
    <row r="9" spans="1:7" x14ac:dyDescent="0.3">
      <c r="A9" t="s">
        <v>13</v>
      </c>
      <c r="C9">
        <v>101325</v>
      </c>
      <c r="D9">
        <v>8101325</v>
      </c>
      <c r="E9">
        <v>0</v>
      </c>
      <c r="F9">
        <v>49.333485850800002</v>
      </c>
      <c r="G9">
        <v>8.5833395540000001</v>
      </c>
    </row>
    <row r="10" spans="1:7" x14ac:dyDescent="0.3">
      <c r="A10" t="s">
        <v>14</v>
      </c>
      <c r="C10">
        <v>101325</v>
      </c>
      <c r="D10">
        <v>8101325</v>
      </c>
      <c r="E10">
        <v>0</v>
      </c>
      <c r="F10">
        <v>47.063349660900002</v>
      </c>
      <c r="G10">
        <v>7.3753776974200003</v>
      </c>
    </row>
    <row r="11" spans="1:7" x14ac:dyDescent="0.3">
      <c r="A11" t="s">
        <v>15</v>
      </c>
      <c r="C11">
        <v>101325</v>
      </c>
      <c r="D11">
        <v>8101325</v>
      </c>
      <c r="E11">
        <v>0</v>
      </c>
      <c r="F11">
        <v>48.4488696592</v>
      </c>
      <c r="G11">
        <v>7.1753586073599998</v>
      </c>
    </row>
    <row r="12" spans="1:7" x14ac:dyDescent="0.3">
      <c r="A12" t="s">
        <v>16</v>
      </c>
      <c r="C12">
        <v>101325</v>
      </c>
      <c r="D12">
        <v>8101325</v>
      </c>
      <c r="E12">
        <v>0</v>
      </c>
      <c r="F12">
        <v>47.0460984698</v>
      </c>
      <c r="G12">
        <v>6.7041298791399999</v>
      </c>
    </row>
    <row r="13" spans="1:7" x14ac:dyDescent="0.3">
      <c r="A13" t="s">
        <v>17</v>
      </c>
      <c r="C13">
        <v>101325</v>
      </c>
      <c r="D13">
        <v>8101325</v>
      </c>
      <c r="E13">
        <v>0</v>
      </c>
      <c r="F13">
        <v>47.038026430599999</v>
      </c>
      <c r="G13">
        <v>7.3914117238100001</v>
      </c>
    </row>
    <row r="14" spans="1:7" x14ac:dyDescent="0.3">
      <c r="A14" t="s">
        <v>18</v>
      </c>
      <c r="C14">
        <v>101325</v>
      </c>
      <c r="D14">
        <v>8101325</v>
      </c>
      <c r="E14">
        <v>0</v>
      </c>
      <c r="F14">
        <v>48.697157281700001</v>
      </c>
      <c r="G14">
        <v>8.42123710095</v>
      </c>
    </row>
    <row r="15" spans="1:7" x14ac:dyDescent="0.3">
      <c r="A15" t="s">
        <v>19</v>
      </c>
      <c r="C15">
        <v>101325</v>
      </c>
      <c r="D15">
        <v>8101325</v>
      </c>
      <c r="E15">
        <v>0</v>
      </c>
      <c r="F15">
        <v>47.336972725499997</v>
      </c>
      <c r="G15">
        <v>7.0605075488400004</v>
      </c>
    </row>
    <row r="16" spans="1:7" x14ac:dyDescent="0.3">
      <c r="A16" t="s">
        <v>20</v>
      </c>
      <c r="C16">
        <v>101325</v>
      </c>
      <c r="D16">
        <v>8101325</v>
      </c>
      <c r="E16">
        <v>0</v>
      </c>
      <c r="F16">
        <v>48.521555451099999</v>
      </c>
      <c r="G16">
        <v>7.4457078406599999</v>
      </c>
    </row>
    <row r="17" spans="1:7" x14ac:dyDescent="0.3">
      <c r="A17" t="s">
        <v>21</v>
      </c>
      <c r="C17">
        <v>101325</v>
      </c>
      <c r="D17">
        <v>8101325</v>
      </c>
      <c r="E17">
        <v>0</v>
      </c>
      <c r="F17">
        <v>47.718581075099998</v>
      </c>
      <c r="G17">
        <v>6.68272868748</v>
      </c>
    </row>
    <row r="18" spans="1:7" x14ac:dyDescent="0.3">
      <c r="A18" t="s">
        <v>22</v>
      </c>
      <c r="C18">
        <v>101325</v>
      </c>
      <c r="D18">
        <v>8101325</v>
      </c>
      <c r="E18">
        <v>0</v>
      </c>
      <c r="F18">
        <v>49.756827333300002</v>
      </c>
      <c r="G18">
        <v>8.90117691783</v>
      </c>
    </row>
    <row r="19" spans="1:7" x14ac:dyDescent="0.3">
      <c r="A19" t="s">
        <v>23</v>
      </c>
      <c r="C19">
        <v>101325</v>
      </c>
      <c r="D19">
        <v>8101325</v>
      </c>
      <c r="E19">
        <v>0</v>
      </c>
      <c r="F19">
        <v>48.885442716</v>
      </c>
      <c r="G19">
        <v>6.9707746782799997</v>
      </c>
    </row>
    <row r="20" spans="1:7" x14ac:dyDescent="0.3">
      <c r="A20" t="s">
        <v>24</v>
      </c>
      <c r="C20">
        <v>101325</v>
      </c>
      <c r="D20">
        <v>8101325</v>
      </c>
      <c r="E20">
        <v>0</v>
      </c>
      <c r="F20">
        <v>48.506594130800003</v>
      </c>
      <c r="G20">
        <v>6.8901153727300004</v>
      </c>
    </row>
    <row r="21" spans="1:7" x14ac:dyDescent="0.3">
      <c r="A21" t="s">
        <v>25</v>
      </c>
      <c r="C21">
        <v>101325</v>
      </c>
      <c r="D21">
        <v>8101325</v>
      </c>
      <c r="E21">
        <v>0</v>
      </c>
      <c r="F21">
        <v>47.443686524</v>
      </c>
      <c r="G21">
        <v>7.1600196325600001</v>
      </c>
    </row>
    <row r="22" spans="1:7" x14ac:dyDescent="0.3">
      <c r="A22" t="s">
        <v>26</v>
      </c>
      <c r="C22">
        <v>101325</v>
      </c>
      <c r="D22">
        <v>8101325</v>
      </c>
      <c r="E22">
        <v>0</v>
      </c>
      <c r="F22">
        <v>49.599066506600003</v>
      </c>
      <c r="G22">
        <v>8.5229746891700007</v>
      </c>
    </row>
    <row r="23" spans="1:7" x14ac:dyDescent="0.3">
      <c r="A23" t="s">
        <v>27</v>
      </c>
      <c r="C23">
        <v>101325</v>
      </c>
      <c r="D23">
        <v>8101325</v>
      </c>
      <c r="E23">
        <v>0</v>
      </c>
      <c r="F23">
        <v>48.4333749364</v>
      </c>
      <c r="G23">
        <v>9.4346584907499995</v>
      </c>
    </row>
    <row r="24" spans="1:7" x14ac:dyDescent="0.3">
      <c r="A24" t="s">
        <v>28</v>
      </c>
      <c r="C24">
        <v>101325</v>
      </c>
      <c r="D24">
        <v>8101325</v>
      </c>
      <c r="E24">
        <v>0</v>
      </c>
      <c r="F24">
        <v>48.548938828300003</v>
      </c>
      <c r="G24">
        <v>7.53102691462</v>
      </c>
    </row>
    <row r="25" spans="1:7" x14ac:dyDescent="0.3">
      <c r="A25" t="s">
        <v>29</v>
      </c>
      <c r="B25" t="s">
        <v>29</v>
      </c>
      <c r="C25">
        <v>101325</v>
      </c>
      <c r="D25">
        <v>8101325</v>
      </c>
      <c r="E25">
        <v>0</v>
      </c>
      <c r="F25">
        <v>48.819547368099997</v>
      </c>
      <c r="G25">
        <v>6.0379656315299997</v>
      </c>
    </row>
    <row r="26" spans="1:7" x14ac:dyDescent="0.3">
      <c r="A26" t="s">
        <v>30</v>
      </c>
      <c r="B26" t="s">
        <v>30</v>
      </c>
      <c r="C26">
        <v>101325</v>
      </c>
      <c r="D26">
        <v>8101325</v>
      </c>
      <c r="E26">
        <v>0</v>
      </c>
      <c r="F26">
        <v>49.761901719500003</v>
      </c>
      <c r="G26">
        <v>8.9727930560200004</v>
      </c>
    </row>
    <row r="27" spans="1:7" x14ac:dyDescent="0.3">
      <c r="A27" t="s">
        <v>31</v>
      </c>
      <c r="B27" t="s">
        <v>31</v>
      </c>
      <c r="C27">
        <v>101325</v>
      </c>
      <c r="D27">
        <v>8101325</v>
      </c>
      <c r="E27">
        <v>0</v>
      </c>
      <c r="F27">
        <v>48.963607098700002</v>
      </c>
      <c r="G27">
        <v>6.8375660756499999</v>
      </c>
    </row>
    <row r="28" spans="1:7" x14ac:dyDescent="0.3">
      <c r="A28" t="s">
        <v>32</v>
      </c>
      <c r="C28">
        <v>101325</v>
      </c>
      <c r="D28">
        <v>8101325</v>
      </c>
      <c r="E28">
        <v>0</v>
      </c>
      <c r="F28">
        <v>47.856722688799998</v>
      </c>
      <c r="G28">
        <v>7.2972825175800002</v>
      </c>
    </row>
    <row r="29" spans="1:7" x14ac:dyDescent="0.3">
      <c r="A29" t="s">
        <v>33</v>
      </c>
      <c r="C29">
        <v>101325</v>
      </c>
      <c r="D29">
        <v>8101325</v>
      </c>
      <c r="E29">
        <v>0</v>
      </c>
      <c r="F29">
        <v>48.8104610444</v>
      </c>
      <c r="G29">
        <v>6.0766343127700004</v>
      </c>
    </row>
    <row r="30" spans="1:7" x14ac:dyDescent="0.3">
      <c r="A30" t="s">
        <v>34</v>
      </c>
      <c r="C30">
        <v>101325</v>
      </c>
      <c r="D30">
        <v>8101325</v>
      </c>
      <c r="E30">
        <v>0</v>
      </c>
      <c r="F30">
        <v>47.327507910400001</v>
      </c>
      <c r="G30">
        <v>7.0121622871099998</v>
      </c>
    </row>
    <row r="31" spans="1:7" x14ac:dyDescent="0.3">
      <c r="A31" t="s">
        <v>35</v>
      </c>
      <c r="C31">
        <v>101325</v>
      </c>
      <c r="D31">
        <v>8101325</v>
      </c>
      <c r="E31">
        <v>0</v>
      </c>
      <c r="F31">
        <v>48.857016385599998</v>
      </c>
      <c r="G31">
        <v>6.9910068056399997</v>
      </c>
    </row>
    <row r="32" spans="1:7" x14ac:dyDescent="0.3">
      <c r="A32" t="s">
        <v>36</v>
      </c>
      <c r="C32">
        <v>101325</v>
      </c>
      <c r="D32">
        <v>8101325</v>
      </c>
      <c r="E32">
        <v>0</v>
      </c>
      <c r="F32">
        <v>47.684915786300003</v>
      </c>
      <c r="G32">
        <v>7.3343218248599999</v>
      </c>
    </row>
    <row r="33" spans="1:7" x14ac:dyDescent="0.3">
      <c r="A33" t="s">
        <v>37</v>
      </c>
      <c r="C33">
        <v>101325</v>
      </c>
      <c r="D33">
        <v>8101325</v>
      </c>
      <c r="E33">
        <v>0</v>
      </c>
      <c r="F33">
        <v>48.439440736599998</v>
      </c>
      <c r="G33">
        <v>7.1259504410399996</v>
      </c>
    </row>
    <row r="34" spans="1:7" x14ac:dyDescent="0.3">
      <c r="A34" t="s">
        <v>38</v>
      </c>
      <c r="C34">
        <v>101325</v>
      </c>
      <c r="D34">
        <v>8101325</v>
      </c>
      <c r="E34">
        <v>0</v>
      </c>
      <c r="F34">
        <v>47.623252605300003</v>
      </c>
      <c r="G34">
        <v>7.2293030868199999</v>
      </c>
    </row>
    <row r="35" spans="1:7" x14ac:dyDescent="0.3">
      <c r="A35" t="s">
        <v>39</v>
      </c>
      <c r="C35">
        <v>101325</v>
      </c>
      <c r="D35">
        <v>8101325</v>
      </c>
      <c r="E35">
        <v>0</v>
      </c>
      <c r="F35">
        <v>48.797463376499998</v>
      </c>
      <c r="G35">
        <v>8.2267773593700007</v>
      </c>
    </row>
    <row r="36" spans="1:7" x14ac:dyDescent="0.3">
      <c r="A36" t="s">
        <v>40</v>
      </c>
      <c r="C36">
        <v>101325</v>
      </c>
      <c r="D36">
        <v>8101325</v>
      </c>
      <c r="E36">
        <v>0</v>
      </c>
      <c r="F36">
        <v>49.363285546900002</v>
      </c>
      <c r="G36">
        <v>8.5682177229499992</v>
      </c>
    </row>
    <row r="37" spans="1:7" x14ac:dyDescent="0.3">
      <c r="A37" t="s">
        <v>41</v>
      </c>
      <c r="C37">
        <v>101325</v>
      </c>
      <c r="D37">
        <v>8101325</v>
      </c>
      <c r="E37">
        <v>0</v>
      </c>
      <c r="F37">
        <v>47.576183937300002</v>
      </c>
      <c r="G37">
        <v>6.6172322377899997</v>
      </c>
    </row>
    <row r="38" spans="1:7" x14ac:dyDescent="0.3">
      <c r="A38" t="s">
        <v>42</v>
      </c>
      <c r="C38">
        <v>101325</v>
      </c>
      <c r="D38">
        <v>8101325</v>
      </c>
      <c r="E38">
        <v>0</v>
      </c>
      <c r="F38">
        <v>46.919251272499999</v>
      </c>
      <c r="G38">
        <v>6.5567145582800004</v>
      </c>
    </row>
    <row r="39" spans="1:7" x14ac:dyDescent="0.3">
      <c r="A39" t="s">
        <v>43</v>
      </c>
      <c r="C39">
        <v>101325</v>
      </c>
      <c r="D39">
        <v>8101325</v>
      </c>
      <c r="E39">
        <v>0</v>
      </c>
      <c r="F39">
        <v>47.488271935999997</v>
      </c>
      <c r="G39">
        <v>6.6466959069599998</v>
      </c>
    </row>
    <row r="40" spans="1:7" x14ac:dyDescent="0.3">
      <c r="A40" t="s">
        <v>44</v>
      </c>
      <c r="C40">
        <v>101325</v>
      </c>
      <c r="D40">
        <v>8101325</v>
      </c>
      <c r="E40">
        <v>0</v>
      </c>
      <c r="F40">
        <v>48.685852134900003</v>
      </c>
      <c r="G40">
        <v>6.4827114548100004</v>
      </c>
    </row>
    <row r="41" spans="1:7" x14ac:dyDescent="0.3">
      <c r="A41" t="s">
        <v>45</v>
      </c>
      <c r="C41">
        <v>101325</v>
      </c>
      <c r="D41">
        <v>8101325</v>
      </c>
      <c r="E41">
        <v>0</v>
      </c>
      <c r="F41">
        <v>49.353753929600003</v>
      </c>
      <c r="G41">
        <v>8.5225982000799991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workbookViewId="0">
      <selection activeCell="E41" sqref="E41"/>
    </sheetView>
  </sheetViews>
  <sheetFormatPr defaultRowHeight="14.4" x14ac:dyDescent="0.3"/>
  <sheetData>
    <row r="1" spans="1:11" x14ac:dyDescent="0.3">
      <c r="A1" s="1"/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t="s">
        <v>56</v>
      </c>
      <c r="B2">
        <v>65057.174267899987</v>
      </c>
      <c r="C2">
        <f xml:space="preserve"> 3.141*E2^2/4</f>
        <v>0.78525</v>
      </c>
      <c r="D2">
        <v>2.513274122871834</v>
      </c>
      <c r="E2">
        <v>1</v>
      </c>
      <c r="F2">
        <v>5.0000000000000002E-5</v>
      </c>
      <c r="G2">
        <v>4</v>
      </c>
      <c r="H2">
        <v>18.567399999999999</v>
      </c>
      <c r="I2">
        <v>273.14999999999998</v>
      </c>
      <c r="J2">
        <v>0.9</v>
      </c>
      <c r="K2">
        <v>0.86</v>
      </c>
    </row>
    <row r="3" spans="1:11" x14ac:dyDescent="0.3">
      <c r="A3" t="s">
        <v>57</v>
      </c>
      <c r="B3">
        <v>32449.372045299999</v>
      </c>
      <c r="C3">
        <f t="shared" ref="C3:C40" si="0" xml:space="preserve"> 3.141*E3^2/4</f>
        <v>3.141</v>
      </c>
      <c r="D3">
        <v>3.1415926535897931</v>
      </c>
      <c r="E3">
        <v>2</v>
      </c>
      <c r="F3">
        <v>5.0000000000000002E-5</v>
      </c>
      <c r="G3">
        <v>4</v>
      </c>
      <c r="H3">
        <v>18.567399999999999</v>
      </c>
      <c r="I3">
        <v>273.14999999999998</v>
      </c>
      <c r="J3">
        <v>0.9</v>
      </c>
      <c r="K3">
        <v>0.86</v>
      </c>
    </row>
    <row r="4" spans="1:11" x14ac:dyDescent="0.3">
      <c r="A4" t="s">
        <v>58</v>
      </c>
      <c r="B4">
        <v>13071.0852297</v>
      </c>
      <c r="C4">
        <f t="shared" si="0"/>
        <v>3.141</v>
      </c>
      <c r="D4">
        <v>3.1415926535897931</v>
      </c>
      <c r="E4">
        <v>2</v>
      </c>
      <c r="F4">
        <v>5.0000000000000002E-5</v>
      </c>
      <c r="G4">
        <v>4</v>
      </c>
      <c r="H4">
        <v>18.567399999999999</v>
      </c>
      <c r="I4">
        <v>273.14999999999998</v>
      </c>
      <c r="J4">
        <v>0.9</v>
      </c>
      <c r="K4">
        <v>0.86</v>
      </c>
    </row>
    <row r="5" spans="1:11" x14ac:dyDescent="0.3">
      <c r="A5" t="s">
        <v>59</v>
      </c>
      <c r="B5">
        <v>12766.7034136</v>
      </c>
      <c r="C5">
        <f t="shared" si="0"/>
        <v>3.141</v>
      </c>
      <c r="D5">
        <v>3.1415926535897931</v>
      </c>
      <c r="E5">
        <v>2</v>
      </c>
      <c r="F5">
        <v>5.0000000000000002E-5</v>
      </c>
      <c r="G5">
        <v>4</v>
      </c>
      <c r="H5">
        <v>18.567399999999999</v>
      </c>
      <c r="I5">
        <v>273.14999999999998</v>
      </c>
      <c r="J5">
        <v>0.9</v>
      </c>
      <c r="K5">
        <v>0.86</v>
      </c>
    </row>
    <row r="6" spans="1:11" x14ac:dyDescent="0.3">
      <c r="A6" t="s">
        <v>60</v>
      </c>
      <c r="B6">
        <v>76893.550756800003</v>
      </c>
      <c r="C6">
        <f t="shared" si="0"/>
        <v>0.78525</v>
      </c>
      <c r="D6">
        <v>2.513274122871834</v>
      </c>
      <c r="E6">
        <v>1</v>
      </c>
      <c r="F6">
        <v>5.0000000000000002E-5</v>
      </c>
      <c r="G6">
        <v>4</v>
      </c>
      <c r="H6">
        <v>18.567399999999999</v>
      </c>
      <c r="I6">
        <v>273.14999999999998</v>
      </c>
      <c r="J6">
        <v>0.9</v>
      </c>
      <c r="K6">
        <v>0.86</v>
      </c>
    </row>
    <row r="7" spans="1:11" x14ac:dyDescent="0.3">
      <c r="A7" t="s">
        <v>61</v>
      </c>
      <c r="B7">
        <v>36061.009874700001</v>
      </c>
      <c r="C7">
        <f t="shared" si="0"/>
        <v>0.78525</v>
      </c>
      <c r="D7">
        <v>2.513274122871834</v>
      </c>
      <c r="E7">
        <v>1</v>
      </c>
      <c r="F7">
        <v>5.0000000000000002E-5</v>
      </c>
      <c r="G7">
        <v>4</v>
      </c>
      <c r="H7">
        <v>18.567399999999999</v>
      </c>
      <c r="I7">
        <v>273.14999999999998</v>
      </c>
      <c r="J7">
        <v>0.9</v>
      </c>
      <c r="K7">
        <v>0.86</v>
      </c>
    </row>
    <row r="8" spans="1:11" x14ac:dyDescent="0.3">
      <c r="A8" t="s">
        <v>62</v>
      </c>
      <c r="B8">
        <v>47488.283852300003</v>
      </c>
      <c r="C8">
        <f t="shared" si="0"/>
        <v>0.78525</v>
      </c>
      <c r="D8">
        <v>2.513274122871834</v>
      </c>
      <c r="E8">
        <v>1</v>
      </c>
      <c r="F8">
        <v>5.0000000000000002E-5</v>
      </c>
      <c r="G8">
        <v>4</v>
      </c>
      <c r="H8">
        <v>18.567399999999999</v>
      </c>
      <c r="I8">
        <v>273.14999999999998</v>
      </c>
      <c r="J8">
        <v>0.9</v>
      </c>
      <c r="K8">
        <v>0.86</v>
      </c>
    </row>
    <row r="9" spans="1:11" x14ac:dyDescent="0.3">
      <c r="A9" t="s">
        <v>63</v>
      </c>
      <c r="B9">
        <v>20322.2054259</v>
      </c>
      <c r="C9">
        <f t="shared" si="0"/>
        <v>0.28269</v>
      </c>
      <c r="D9">
        <v>1.8849555921538761</v>
      </c>
      <c r="E9">
        <v>0.6</v>
      </c>
      <c r="F9">
        <v>5.0000000000000002E-5</v>
      </c>
      <c r="G9">
        <v>4</v>
      </c>
      <c r="H9">
        <v>18.567399999999999</v>
      </c>
      <c r="I9">
        <v>273.14999999999998</v>
      </c>
      <c r="J9">
        <v>0.9</v>
      </c>
      <c r="K9">
        <v>0.86</v>
      </c>
    </row>
    <row r="10" spans="1:11" x14ac:dyDescent="0.3">
      <c r="A10" t="s">
        <v>64</v>
      </c>
      <c r="B10">
        <v>32921.259814999998</v>
      </c>
      <c r="C10">
        <f t="shared" si="0"/>
        <v>0.78525</v>
      </c>
      <c r="D10">
        <v>2.513274122871834</v>
      </c>
      <c r="E10">
        <v>1</v>
      </c>
      <c r="F10">
        <v>5.0000000000000002E-5</v>
      </c>
      <c r="G10">
        <v>4</v>
      </c>
      <c r="H10">
        <v>18.567399999999999</v>
      </c>
      <c r="I10">
        <v>273.14999999999998</v>
      </c>
      <c r="J10">
        <v>0.9</v>
      </c>
      <c r="K10">
        <v>0.86</v>
      </c>
    </row>
    <row r="11" spans="1:11" x14ac:dyDescent="0.3">
      <c r="A11" t="s">
        <v>65</v>
      </c>
      <c r="B11">
        <v>39036.041811399999</v>
      </c>
      <c r="C11">
        <f t="shared" si="0"/>
        <v>0.78525</v>
      </c>
      <c r="D11">
        <v>2.513274122871834</v>
      </c>
      <c r="E11">
        <v>1</v>
      </c>
      <c r="F11">
        <v>5.0000000000000002E-5</v>
      </c>
      <c r="G11">
        <v>4</v>
      </c>
      <c r="H11">
        <v>18.567399999999999</v>
      </c>
      <c r="I11">
        <v>273.14999999999998</v>
      </c>
      <c r="J11">
        <v>0.9</v>
      </c>
      <c r="K11">
        <v>0.86</v>
      </c>
    </row>
    <row r="12" spans="1:11" x14ac:dyDescent="0.3">
      <c r="A12" t="s">
        <v>66</v>
      </c>
      <c r="B12">
        <v>21557.5661917</v>
      </c>
      <c r="C12">
        <f t="shared" si="0"/>
        <v>3.141</v>
      </c>
      <c r="D12">
        <v>3.1415926535897931</v>
      </c>
      <c r="E12">
        <v>2</v>
      </c>
      <c r="F12">
        <v>5.0000000000000002E-5</v>
      </c>
      <c r="G12">
        <v>4</v>
      </c>
      <c r="H12">
        <v>18.567399999999999</v>
      </c>
      <c r="I12">
        <v>273.14999999999998</v>
      </c>
      <c r="J12">
        <v>0.9</v>
      </c>
      <c r="K12">
        <v>0.86</v>
      </c>
    </row>
    <row r="13" spans="1:11" x14ac:dyDescent="0.3">
      <c r="A13" t="s">
        <v>67</v>
      </c>
      <c r="B13">
        <v>31179.6191038</v>
      </c>
      <c r="C13">
        <f t="shared" si="0"/>
        <v>0.78525</v>
      </c>
      <c r="D13">
        <v>2.513274122871834</v>
      </c>
      <c r="E13">
        <v>1</v>
      </c>
      <c r="F13">
        <v>5.0000000000000002E-5</v>
      </c>
      <c r="G13">
        <v>4</v>
      </c>
      <c r="H13">
        <v>18.567399999999999</v>
      </c>
      <c r="I13">
        <v>273.14999999999998</v>
      </c>
      <c r="J13">
        <v>0.9</v>
      </c>
      <c r="K13">
        <v>0.86</v>
      </c>
    </row>
    <row r="14" spans="1:11" x14ac:dyDescent="0.3">
      <c r="A14" t="s">
        <v>68</v>
      </c>
      <c r="B14">
        <v>14043.1135378</v>
      </c>
      <c r="C14">
        <f t="shared" si="0"/>
        <v>0.12564000000000003</v>
      </c>
      <c r="D14">
        <v>1.256637061435917</v>
      </c>
      <c r="E14">
        <v>0.4</v>
      </c>
      <c r="F14">
        <v>5.0000000000000002E-5</v>
      </c>
      <c r="G14">
        <v>4</v>
      </c>
      <c r="H14">
        <v>18.567399999999999</v>
      </c>
      <c r="I14">
        <v>273.14999999999998</v>
      </c>
      <c r="J14">
        <v>0.9</v>
      </c>
      <c r="K14">
        <v>0.86</v>
      </c>
    </row>
    <row r="15" spans="1:11" x14ac:dyDescent="0.3">
      <c r="A15" t="s">
        <v>69</v>
      </c>
      <c r="B15">
        <v>58218.969553100003</v>
      </c>
      <c r="C15">
        <f t="shared" si="0"/>
        <v>0.78525</v>
      </c>
      <c r="D15">
        <v>2.513274122871834</v>
      </c>
      <c r="E15">
        <v>1</v>
      </c>
      <c r="F15">
        <v>5.0000000000000002E-5</v>
      </c>
      <c r="G15">
        <v>4</v>
      </c>
      <c r="H15">
        <v>18.567399999999999</v>
      </c>
      <c r="I15">
        <v>273.14999999999998</v>
      </c>
      <c r="J15">
        <v>0.9</v>
      </c>
      <c r="K15">
        <v>0.86</v>
      </c>
    </row>
    <row r="16" spans="1:11" x14ac:dyDescent="0.3">
      <c r="A16" t="s">
        <v>70</v>
      </c>
      <c r="B16">
        <v>20634.698268799999</v>
      </c>
      <c r="C16">
        <f t="shared" si="0"/>
        <v>0.28269</v>
      </c>
      <c r="D16">
        <v>1.8849555921538761</v>
      </c>
      <c r="E16">
        <v>0.6</v>
      </c>
      <c r="F16">
        <v>5.0000000000000002E-5</v>
      </c>
      <c r="G16">
        <v>4</v>
      </c>
      <c r="H16">
        <v>18.567399999999999</v>
      </c>
      <c r="I16">
        <v>273.14999999999998</v>
      </c>
      <c r="J16">
        <v>0.9</v>
      </c>
      <c r="K16">
        <v>0.86</v>
      </c>
    </row>
    <row r="17" spans="1:11" x14ac:dyDescent="0.3">
      <c r="A17" t="s">
        <v>71</v>
      </c>
      <c r="B17">
        <v>3479.4546655200002</v>
      </c>
      <c r="C17">
        <f t="shared" si="0"/>
        <v>0.78525</v>
      </c>
      <c r="D17">
        <v>2.513274122871834</v>
      </c>
      <c r="E17">
        <v>1</v>
      </c>
      <c r="F17">
        <v>1.2E-5</v>
      </c>
      <c r="G17">
        <v>4</v>
      </c>
      <c r="H17">
        <v>18.567399999999999</v>
      </c>
      <c r="I17">
        <v>273.14999999999998</v>
      </c>
      <c r="J17">
        <v>0.9</v>
      </c>
      <c r="K17">
        <v>0.86</v>
      </c>
    </row>
    <row r="18" spans="1:11" x14ac:dyDescent="0.3">
      <c r="A18" t="s">
        <v>72</v>
      </c>
      <c r="B18">
        <v>3802.5866770500002</v>
      </c>
      <c r="C18">
        <f t="shared" si="0"/>
        <v>0.28269</v>
      </c>
      <c r="D18">
        <v>1.8849555921538761</v>
      </c>
      <c r="E18">
        <v>0.6</v>
      </c>
      <c r="F18">
        <v>5.0000000000000002E-5</v>
      </c>
      <c r="G18">
        <v>4</v>
      </c>
      <c r="H18">
        <v>18.567399999999999</v>
      </c>
      <c r="I18">
        <v>273.14999999999998</v>
      </c>
      <c r="J18">
        <v>0.9</v>
      </c>
      <c r="K18">
        <v>0.86</v>
      </c>
    </row>
    <row r="19" spans="1:11" x14ac:dyDescent="0.3">
      <c r="A19" t="s">
        <v>73</v>
      </c>
      <c r="B19">
        <v>18136.597291800001</v>
      </c>
      <c r="C19">
        <f t="shared" si="0"/>
        <v>3.141</v>
      </c>
      <c r="D19">
        <v>3.1415926535897931</v>
      </c>
      <c r="E19">
        <v>2</v>
      </c>
      <c r="F19">
        <v>5.0000000000000002E-5</v>
      </c>
      <c r="G19">
        <v>4</v>
      </c>
      <c r="H19">
        <v>18.567399999999999</v>
      </c>
      <c r="I19">
        <v>273.14999999999998</v>
      </c>
      <c r="J19">
        <v>0.9</v>
      </c>
      <c r="K19">
        <v>0.86</v>
      </c>
    </row>
    <row r="20" spans="1:11" x14ac:dyDescent="0.3">
      <c r="A20" t="s">
        <v>74</v>
      </c>
      <c r="B20">
        <v>10452.031177999999</v>
      </c>
      <c r="C20">
        <f t="shared" si="0"/>
        <v>0.28269</v>
      </c>
      <c r="D20">
        <v>1.8849555921538761</v>
      </c>
      <c r="E20">
        <v>0.6</v>
      </c>
      <c r="F20">
        <v>5.0000000000000002E-5</v>
      </c>
      <c r="G20">
        <v>4</v>
      </c>
      <c r="H20">
        <v>18.567399999999999</v>
      </c>
      <c r="I20">
        <v>273.14999999999998</v>
      </c>
      <c r="J20">
        <v>0.9</v>
      </c>
      <c r="K20">
        <v>0.86</v>
      </c>
    </row>
    <row r="21" spans="1:11" x14ac:dyDescent="0.3">
      <c r="A21" t="s">
        <v>75</v>
      </c>
      <c r="B21">
        <v>65532.212711200002</v>
      </c>
      <c r="C21">
        <f t="shared" si="0"/>
        <v>0.50256000000000012</v>
      </c>
      <c r="D21">
        <v>2.513274122871834</v>
      </c>
      <c r="E21">
        <v>0.8</v>
      </c>
      <c r="F21">
        <v>5.0000000000000002E-5</v>
      </c>
      <c r="G21">
        <v>4</v>
      </c>
      <c r="H21">
        <v>18.567399999999999</v>
      </c>
      <c r="I21">
        <v>273.14999999999998</v>
      </c>
      <c r="J21">
        <v>0.9</v>
      </c>
      <c r="K21">
        <v>0.86</v>
      </c>
    </row>
    <row r="22" spans="1:11" x14ac:dyDescent="0.3">
      <c r="A22" t="s">
        <v>76</v>
      </c>
      <c r="B22">
        <v>3418.0082512499998</v>
      </c>
      <c r="C22">
        <f t="shared" si="0"/>
        <v>3.141</v>
      </c>
      <c r="D22">
        <v>3.1415926535897931</v>
      </c>
      <c r="E22">
        <v>2</v>
      </c>
      <c r="F22">
        <v>1.2E-5</v>
      </c>
      <c r="G22">
        <v>4</v>
      </c>
      <c r="H22">
        <v>18.567399999999999</v>
      </c>
      <c r="I22">
        <v>273.14999999999998</v>
      </c>
      <c r="J22">
        <v>0.9</v>
      </c>
      <c r="K22">
        <v>0.86</v>
      </c>
    </row>
    <row r="23" spans="1:11" x14ac:dyDescent="0.3">
      <c r="A23" t="s">
        <v>77</v>
      </c>
      <c r="B23">
        <v>12397.3521636</v>
      </c>
      <c r="C23">
        <f t="shared" si="0"/>
        <v>0.78525</v>
      </c>
      <c r="D23">
        <v>2.513274122871834</v>
      </c>
      <c r="E23">
        <v>1</v>
      </c>
      <c r="F23">
        <v>5.0000000000000002E-5</v>
      </c>
      <c r="G23">
        <v>4</v>
      </c>
      <c r="H23">
        <v>18.567399999999999</v>
      </c>
      <c r="I23">
        <v>273.14999999999998</v>
      </c>
      <c r="J23">
        <v>0.9</v>
      </c>
      <c r="K23">
        <v>0.86</v>
      </c>
    </row>
    <row r="24" spans="1:11" x14ac:dyDescent="0.3">
      <c r="A24" t="s">
        <v>78</v>
      </c>
      <c r="B24">
        <v>10586.1294733</v>
      </c>
      <c r="C24">
        <f t="shared" si="0"/>
        <v>0.28269</v>
      </c>
      <c r="D24">
        <v>1.8849555921538761</v>
      </c>
      <c r="E24">
        <v>0.6</v>
      </c>
      <c r="F24">
        <v>5.0000000000000002E-5</v>
      </c>
      <c r="G24">
        <v>4</v>
      </c>
      <c r="H24">
        <v>18.567399999999999</v>
      </c>
      <c r="I24">
        <v>273.14999999999998</v>
      </c>
      <c r="J24">
        <v>0.9</v>
      </c>
      <c r="K24">
        <v>0.86</v>
      </c>
    </row>
    <row r="25" spans="1:11" x14ac:dyDescent="0.3">
      <c r="A25" t="s">
        <v>79</v>
      </c>
      <c r="B25">
        <v>35218.839086699998</v>
      </c>
      <c r="C25">
        <f t="shared" si="0"/>
        <v>0.28269</v>
      </c>
      <c r="D25">
        <v>1.8849555921538761</v>
      </c>
      <c r="E25">
        <v>0.6</v>
      </c>
      <c r="F25">
        <v>5.0000000000000002E-5</v>
      </c>
      <c r="G25">
        <v>4</v>
      </c>
      <c r="H25">
        <v>18.567399999999999</v>
      </c>
      <c r="I25">
        <v>273.14999999999998</v>
      </c>
      <c r="J25">
        <v>0.9</v>
      </c>
      <c r="K25">
        <v>0.86</v>
      </c>
    </row>
    <row r="26" spans="1:11" x14ac:dyDescent="0.3">
      <c r="A26" t="s">
        <v>80</v>
      </c>
      <c r="B26">
        <v>22224.1532472</v>
      </c>
      <c r="C26">
        <f t="shared" si="0"/>
        <v>0.78525</v>
      </c>
      <c r="D26">
        <v>2.513274122871834</v>
      </c>
      <c r="E26">
        <v>1</v>
      </c>
      <c r="F26">
        <v>5.0000000000000002E-5</v>
      </c>
      <c r="G26">
        <v>4</v>
      </c>
      <c r="H26">
        <v>18.567399999999999</v>
      </c>
      <c r="I26">
        <v>273.14999999999998</v>
      </c>
      <c r="J26">
        <v>0.9</v>
      </c>
      <c r="K26">
        <v>0.86</v>
      </c>
    </row>
    <row r="27" spans="1:11" x14ac:dyDescent="0.3">
      <c r="A27" t="s">
        <v>81</v>
      </c>
      <c r="B27">
        <v>10022.7829812</v>
      </c>
      <c r="C27">
        <f t="shared" si="0"/>
        <v>0.28269</v>
      </c>
      <c r="D27">
        <v>1.8849555921538761</v>
      </c>
      <c r="E27">
        <v>0.6</v>
      </c>
      <c r="F27">
        <v>5.0000000000000002E-5</v>
      </c>
      <c r="G27">
        <v>4</v>
      </c>
      <c r="H27">
        <v>18.567399999999999</v>
      </c>
      <c r="I27">
        <v>273.14999999999998</v>
      </c>
      <c r="J27">
        <v>0.9</v>
      </c>
      <c r="K27">
        <v>0.86</v>
      </c>
    </row>
    <row r="28" spans="1:11" x14ac:dyDescent="0.3">
      <c r="A28" t="s">
        <v>82</v>
      </c>
      <c r="B28">
        <v>38659.824363</v>
      </c>
      <c r="C28">
        <f t="shared" si="0"/>
        <v>0.12564000000000003</v>
      </c>
      <c r="D28">
        <v>1.256637061435917</v>
      </c>
      <c r="E28">
        <v>0.4</v>
      </c>
      <c r="F28">
        <v>5.0000000000000002E-5</v>
      </c>
      <c r="G28">
        <v>4</v>
      </c>
      <c r="H28">
        <v>18.567399999999999</v>
      </c>
      <c r="I28">
        <v>273.14999999999998</v>
      </c>
      <c r="J28">
        <v>0.9</v>
      </c>
      <c r="K28">
        <v>0.86</v>
      </c>
    </row>
    <row r="29" spans="1:11" x14ac:dyDescent="0.3">
      <c r="A29" t="s">
        <v>83</v>
      </c>
      <c r="B29">
        <v>6998.0537787200001</v>
      </c>
      <c r="C29">
        <f t="shared" si="0"/>
        <v>3.141</v>
      </c>
      <c r="D29">
        <v>3.1415926535897931</v>
      </c>
      <c r="E29">
        <v>2</v>
      </c>
      <c r="F29">
        <v>5.0000000000000002E-5</v>
      </c>
      <c r="G29">
        <v>4</v>
      </c>
      <c r="H29">
        <v>18.567399999999999</v>
      </c>
      <c r="I29">
        <v>273.14999999999998</v>
      </c>
      <c r="J29">
        <v>0.9</v>
      </c>
      <c r="K29">
        <v>0.86</v>
      </c>
    </row>
    <row r="30" spans="1:11" x14ac:dyDescent="0.3">
      <c r="A30" t="s">
        <v>84</v>
      </c>
      <c r="B30">
        <v>18017.8496012</v>
      </c>
      <c r="C30">
        <f t="shared" si="0"/>
        <v>0.28269</v>
      </c>
      <c r="D30">
        <v>1.8849555921538761</v>
      </c>
      <c r="E30">
        <v>0.6</v>
      </c>
      <c r="F30">
        <v>5.0000000000000002E-5</v>
      </c>
      <c r="G30">
        <v>4</v>
      </c>
      <c r="H30">
        <v>18.567399999999999</v>
      </c>
      <c r="I30">
        <v>273.14999999999998</v>
      </c>
      <c r="J30">
        <v>0.9</v>
      </c>
      <c r="K30">
        <v>0.86</v>
      </c>
    </row>
    <row r="31" spans="1:11" x14ac:dyDescent="0.3">
      <c r="A31" t="s">
        <v>85</v>
      </c>
      <c r="B31">
        <v>86690.265566799993</v>
      </c>
      <c r="C31">
        <f t="shared" si="0"/>
        <v>0.78525</v>
      </c>
      <c r="D31">
        <v>2.513274122871834</v>
      </c>
      <c r="E31">
        <v>1</v>
      </c>
      <c r="F31">
        <v>5.0000000000000002E-5</v>
      </c>
      <c r="G31">
        <v>4</v>
      </c>
      <c r="H31">
        <v>18.567399999999999</v>
      </c>
      <c r="I31">
        <v>273.14999999999998</v>
      </c>
      <c r="J31">
        <v>0.9</v>
      </c>
      <c r="K31">
        <v>0.86</v>
      </c>
    </row>
    <row r="32" spans="1:11" x14ac:dyDescent="0.3">
      <c r="A32" t="s">
        <v>86</v>
      </c>
      <c r="B32">
        <v>49866.148387499998</v>
      </c>
      <c r="C32">
        <f t="shared" si="0"/>
        <v>0.78525</v>
      </c>
      <c r="D32">
        <v>2.513274122871834</v>
      </c>
      <c r="E32">
        <v>1</v>
      </c>
      <c r="F32">
        <v>5.0000000000000002E-5</v>
      </c>
      <c r="G32">
        <v>4</v>
      </c>
      <c r="H32">
        <v>18.567399999999999</v>
      </c>
      <c r="I32">
        <v>273.14999999999998</v>
      </c>
      <c r="J32">
        <v>0.9</v>
      </c>
      <c r="K32">
        <v>0.86</v>
      </c>
    </row>
    <row r="33" spans="1:11" x14ac:dyDescent="0.3">
      <c r="A33" t="s">
        <v>87</v>
      </c>
      <c r="B33">
        <v>19303.192019599999</v>
      </c>
      <c r="C33">
        <f t="shared" si="0"/>
        <v>0.28269</v>
      </c>
      <c r="D33">
        <v>1.8849555921538761</v>
      </c>
      <c r="E33">
        <v>0.6</v>
      </c>
      <c r="F33">
        <v>5.0000000000000002E-5</v>
      </c>
      <c r="G33">
        <v>4</v>
      </c>
      <c r="H33">
        <v>18.567399999999999</v>
      </c>
      <c r="I33">
        <v>273.14999999999998</v>
      </c>
      <c r="J33">
        <v>0.9</v>
      </c>
      <c r="K33">
        <v>0.86</v>
      </c>
    </row>
    <row r="34" spans="1:11" x14ac:dyDescent="0.3">
      <c r="A34" t="s">
        <v>88</v>
      </c>
      <c r="B34">
        <v>12015.8748344</v>
      </c>
      <c r="C34">
        <f t="shared" si="0"/>
        <v>0.12564000000000003</v>
      </c>
      <c r="D34">
        <v>1.256637061435917</v>
      </c>
      <c r="E34">
        <v>0.4</v>
      </c>
      <c r="F34">
        <v>5.0000000000000002E-5</v>
      </c>
      <c r="G34">
        <v>4</v>
      </c>
      <c r="H34">
        <v>18.567399999999999</v>
      </c>
      <c r="I34">
        <v>273.14999999999998</v>
      </c>
      <c r="J34">
        <v>0.9</v>
      </c>
      <c r="K34">
        <v>0.86</v>
      </c>
    </row>
    <row r="35" spans="1:11" x14ac:dyDescent="0.3">
      <c r="A35" t="s">
        <v>89</v>
      </c>
      <c r="B35">
        <v>18969.412711100002</v>
      </c>
      <c r="C35">
        <f t="shared" si="0"/>
        <v>3.141</v>
      </c>
      <c r="D35">
        <v>3.1415926535897931</v>
      </c>
      <c r="E35">
        <v>2</v>
      </c>
      <c r="F35">
        <v>5.0000000000000002E-5</v>
      </c>
      <c r="G35">
        <v>4</v>
      </c>
      <c r="H35">
        <v>18.567399999999999</v>
      </c>
      <c r="I35">
        <v>273.14999999999998</v>
      </c>
      <c r="J35">
        <v>0.9</v>
      </c>
      <c r="K35">
        <v>0.86</v>
      </c>
    </row>
    <row r="36" spans="1:11" x14ac:dyDescent="0.3">
      <c r="A36" t="s">
        <v>90</v>
      </c>
      <c r="B36">
        <v>16579.3259985</v>
      </c>
      <c r="C36">
        <f t="shared" si="0"/>
        <v>0.28269</v>
      </c>
      <c r="D36">
        <v>1.8849555921538761</v>
      </c>
      <c r="E36">
        <v>0.6</v>
      </c>
      <c r="F36">
        <v>5.0000000000000002E-5</v>
      </c>
      <c r="G36">
        <v>4</v>
      </c>
      <c r="H36">
        <v>18.567399999999999</v>
      </c>
      <c r="I36">
        <v>273.14999999999998</v>
      </c>
      <c r="J36">
        <v>0.9</v>
      </c>
      <c r="K36">
        <v>0.86</v>
      </c>
    </row>
    <row r="37" spans="1:11" x14ac:dyDescent="0.3">
      <c r="A37" t="s">
        <v>91</v>
      </c>
      <c r="B37">
        <v>3067.54743994</v>
      </c>
      <c r="C37">
        <f t="shared" si="0"/>
        <v>0.28269</v>
      </c>
      <c r="D37">
        <v>1.8849555921538761</v>
      </c>
      <c r="E37">
        <v>0.6</v>
      </c>
      <c r="F37">
        <v>5.0000000000000002E-5</v>
      </c>
      <c r="G37">
        <v>4</v>
      </c>
      <c r="H37">
        <v>18.567399999999999</v>
      </c>
      <c r="I37">
        <v>273.14999999999998</v>
      </c>
      <c r="J37">
        <v>0.9</v>
      </c>
      <c r="K37">
        <v>0.86</v>
      </c>
    </row>
    <row r="38" spans="1:11" x14ac:dyDescent="0.3">
      <c r="A38" t="s">
        <v>92</v>
      </c>
      <c r="B38">
        <v>66036.594630899999</v>
      </c>
      <c r="C38">
        <f t="shared" si="0"/>
        <v>0.28269</v>
      </c>
      <c r="D38">
        <v>1.8849555921538761</v>
      </c>
      <c r="E38">
        <v>0.6</v>
      </c>
      <c r="F38">
        <v>5.0000000000000002E-5</v>
      </c>
      <c r="G38">
        <v>4</v>
      </c>
      <c r="H38">
        <v>18.567399999999999</v>
      </c>
      <c r="I38">
        <v>273.14999999999998</v>
      </c>
      <c r="J38">
        <v>0.9</v>
      </c>
      <c r="K38">
        <v>0.86</v>
      </c>
    </row>
    <row r="39" spans="1:11" x14ac:dyDescent="0.3">
      <c r="A39" t="s">
        <v>93</v>
      </c>
      <c r="B39">
        <v>26427.481645299998</v>
      </c>
      <c r="C39">
        <f t="shared" si="0"/>
        <v>0.78525</v>
      </c>
      <c r="D39">
        <v>2.513274122871834</v>
      </c>
      <c r="E39">
        <v>1</v>
      </c>
      <c r="F39">
        <v>5.0000000000000002E-5</v>
      </c>
      <c r="G39">
        <v>4</v>
      </c>
      <c r="H39">
        <v>18.567399999999999</v>
      </c>
      <c r="I39">
        <v>273.14999999999998</v>
      </c>
      <c r="J39">
        <v>0.9</v>
      </c>
      <c r="K39">
        <v>0.86</v>
      </c>
    </row>
    <row r="40" spans="1:11" x14ac:dyDescent="0.3">
      <c r="A40" t="s">
        <v>94</v>
      </c>
      <c r="B40">
        <v>32868.2025259</v>
      </c>
      <c r="C40">
        <f t="shared" si="0"/>
        <v>0.78525</v>
      </c>
      <c r="D40">
        <v>2.513274122871834</v>
      </c>
      <c r="E40">
        <v>1</v>
      </c>
      <c r="F40">
        <v>5.0000000000000002E-5</v>
      </c>
      <c r="G40">
        <v>4</v>
      </c>
      <c r="H40">
        <v>18.567399999999999</v>
      </c>
      <c r="I40">
        <v>273.14999999999998</v>
      </c>
      <c r="J40">
        <v>0.9</v>
      </c>
      <c r="K40">
        <v>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x14ac:dyDescent="0.3">
      <c r="A1" s="1"/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3">
      <c r="A2" t="s">
        <v>99</v>
      </c>
      <c r="C2">
        <v>3101325</v>
      </c>
      <c r="D2">
        <v>7101325</v>
      </c>
      <c r="E2">
        <v>2424387224.3367658</v>
      </c>
    </row>
    <row r="3" spans="1:5" x14ac:dyDescent="0.3">
      <c r="A3" t="s">
        <v>100</v>
      </c>
      <c r="C3">
        <v>3101325</v>
      </c>
      <c r="D3">
        <v>7101325</v>
      </c>
      <c r="E3">
        <v>2424387224.3367658</v>
      </c>
    </row>
    <row r="4" spans="1:5" x14ac:dyDescent="0.3">
      <c r="A4" t="s">
        <v>101</v>
      </c>
      <c r="C4">
        <v>3101325</v>
      </c>
      <c r="D4">
        <v>7101325</v>
      </c>
      <c r="E4">
        <v>2424387224.3367658</v>
      </c>
    </row>
    <row r="5" spans="1:5" x14ac:dyDescent="0.3">
      <c r="A5" t="s">
        <v>102</v>
      </c>
      <c r="C5">
        <v>3101325</v>
      </c>
      <c r="D5">
        <v>7101325</v>
      </c>
      <c r="E5">
        <v>2424387224.3367658</v>
      </c>
    </row>
    <row r="6" spans="1:5" x14ac:dyDescent="0.3">
      <c r="A6" t="s">
        <v>103</v>
      </c>
      <c r="C6">
        <v>3101325</v>
      </c>
      <c r="D6">
        <v>7101325</v>
      </c>
      <c r="E6">
        <v>2424387224.3367658</v>
      </c>
    </row>
    <row r="7" spans="1:5" x14ac:dyDescent="0.3">
      <c r="A7" t="s">
        <v>104</v>
      </c>
      <c r="C7">
        <v>3101325</v>
      </c>
      <c r="D7">
        <v>7101325</v>
      </c>
      <c r="E7">
        <v>2424387224.3367658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/>
  </sheetViews>
  <sheetFormatPr defaultRowHeight="14.4" x14ac:dyDescent="0.3"/>
  <sheetData>
    <row r="1" spans="1:3" x14ac:dyDescent="0.3">
      <c r="A1" s="1"/>
      <c r="B1" s="1" t="s">
        <v>105</v>
      </c>
      <c r="C1" s="1" t="s">
        <v>106</v>
      </c>
    </row>
    <row r="2" spans="1:3" x14ac:dyDescent="0.3">
      <c r="A2" t="s">
        <v>56</v>
      </c>
      <c r="B2" t="s">
        <v>39</v>
      </c>
      <c r="C2" t="s">
        <v>13</v>
      </c>
    </row>
    <row r="3" spans="1:3" x14ac:dyDescent="0.3">
      <c r="A3" t="s">
        <v>57</v>
      </c>
      <c r="B3" t="s">
        <v>26</v>
      </c>
      <c r="C3" t="s">
        <v>22</v>
      </c>
    </row>
    <row r="4" spans="1:3" x14ac:dyDescent="0.3">
      <c r="A4" t="s">
        <v>58</v>
      </c>
      <c r="B4" t="s">
        <v>31</v>
      </c>
      <c r="C4" t="s">
        <v>23</v>
      </c>
    </row>
    <row r="5" spans="1:3" x14ac:dyDescent="0.3">
      <c r="A5" t="s">
        <v>59</v>
      </c>
      <c r="B5" t="s">
        <v>11</v>
      </c>
      <c r="C5" t="s">
        <v>24</v>
      </c>
    </row>
    <row r="6" spans="1:3" x14ac:dyDescent="0.3">
      <c r="A6" t="s">
        <v>60</v>
      </c>
      <c r="B6" t="s">
        <v>8</v>
      </c>
      <c r="C6" t="s">
        <v>27</v>
      </c>
    </row>
    <row r="7" spans="1:3" x14ac:dyDescent="0.3">
      <c r="A7" t="s">
        <v>61</v>
      </c>
      <c r="B7" t="s">
        <v>24</v>
      </c>
      <c r="C7" t="s">
        <v>44</v>
      </c>
    </row>
    <row r="8" spans="1:3" x14ac:dyDescent="0.3">
      <c r="A8" t="s">
        <v>62</v>
      </c>
      <c r="B8" t="s">
        <v>37</v>
      </c>
      <c r="C8" t="s">
        <v>35</v>
      </c>
    </row>
    <row r="9" spans="1:3" x14ac:dyDescent="0.3">
      <c r="A9" t="s">
        <v>63</v>
      </c>
      <c r="B9" t="s">
        <v>6</v>
      </c>
      <c r="C9" t="s">
        <v>32</v>
      </c>
    </row>
    <row r="10" spans="1:3" x14ac:dyDescent="0.3">
      <c r="A10" t="s">
        <v>64</v>
      </c>
      <c r="B10" t="s">
        <v>44</v>
      </c>
      <c r="C10" t="s">
        <v>33</v>
      </c>
    </row>
    <row r="11" spans="1:3" x14ac:dyDescent="0.3">
      <c r="A11" t="s">
        <v>65</v>
      </c>
      <c r="B11" t="s">
        <v>34</v>
      </c>
      <c r="C11" t="s">
        <v>16</v>
      </c>
    </row>
    <row r="12" spans="1:3" x14ac:dyDescent="0.3">
      <c r="A12" t="s">
        <v>66</v>
      </c>
      <c r="B12" t="s">
        <v>15</v>
      </c>
      <c r="C12" t="s">
        <v>20</v>
      </c>
    </row>
    <row r="13" spans="1:3" x14ac:dyDescent="0.3">
      <c r="A13" t="s">
        <v>67</v>
      </c>
      <c r="B13" t="s">
        <v>44</v>
      </c>
      <c r="C13" t="s">
        <v>11</v>
      </c>
    </row>
    <row r="14" spans="1:3" x14ac:dyDescent="0.3">
      <c r="A14" t="s">
        <v>68</v>
      </c>
      <c r="B14" t="s">
        <v>19</v>
      </c>
      <c r="C14" t="s">
        <v>25</v>
      </c>
    </row>
    <row r="15" spans="1:3" x14ac:dyDescent="0.3">
      <c r="A15" t="s">
        <v>69</v>
      </c>
      <c r="B15" t="s">
        <v>28</v>
      </c>
      <c r="C15" t="s">
        <v>39</v>
      </c>
    </row>
    <row r="16" spans="1:3" x14ac:dyDescent="0.3">
      <c r="A16" t="s">
        <v>70</v>
      </c>
      <c r="B16" t="s">
        <v>25</v>
      </c>
      <c r="C16" t="s">
        <v>38</v>
      </c>
    </row>
    <row r="17" spans="1:3" x14ac:dyDescent="0.3">
      <c r="A17" t="s">
        <v>71</v>
      </c>
      <c r="B17" t="s">
        <v>40</v>
      </c>
      <c r="C17" t="s">
        <v>45</v>
      </c>
    </row>
    <row r="18" spans="1:3" x14ac:dyDescent="0.3">
      <c r="A18" t="s">
        <v>72</v>
      </c>
      <c r="B18" t="s">
        <v>34</v>
      </c>
      <c r="C18" t="s">
        <v>19</v>
      </c>
    </row>
    <row r="19" spans="1:3" x14ac:dyDescent="0.3">
      <c r="A19" t="s">
        <v>73</v>
      </c>
      <c r="B19" t="s">
        <v>39</v>
      </c>
      <c r="C19" t="s">
        <v>18</v>
      </c>
    </row>
    <row r="20" spans="1:3" x14ac:dyDescent="0.3">
      <c r="A20" t="s">
        <v>74</v>
      </c>
      <c r="B20" t="s">
        <v>38</v>
      </c>
      <c r="C20" t="s">
        <v>36</v>
      </c>
    </row>
    <row r="21" spans="1:3" x14ac:dyDescent="0.3">
      <c r="A21" t="s">
        <v>75</v>
      </c>
      <c r="B21" t="s">
        <v>39</v>
      </c>
      <c r="C21" t="s">
        <v>45</v>
      </c>
    </row>
    <row r="22" spans="1:3" x14ac:dyDescent="0.3">
      <c r="A22" t="s">
        <v>76</v>
      </c>
      <c r="B22" t="s">
        <v>12</v>
      </c>
      <c r="C22" t="s">
        <v>22</v>
      </c>
    </row>
    <row r="23" spans="1:3" x14ac:dyDescent="0.3">
      <c r="A23" t="s">
        <v>77</v>
      </c>
      <c r="B23" t="s">
        <v>23</v>
      </c>
      <c r="C23" t="s">
        <v>9</v>
      </c>
    </row>
    <row r="24" spans="1:3" x14ac:dyDescent="0.3">
      <c r="A24" t="s">
        <v>78</v>
      </c>
      <c r="B24" t="s">
        <v>38</v>
      </c>
      <c r="C24" t="s">
        <v>6</v>
      </c>
    </row>
    <row r="25" spans="1:3" x14ac:dyDescent="0.3">
      <c r="A25" t="s">
        <v>79</v>
      </c>
      <c r="B25" t="s">
        <v>21</v>
      </c>
      <c r="C25" t="s">
        <v>6</v>
      </c>
    </row>
    <row r="26" spans="1:3" x14ac:dyDescent="0.3">
      <c r="A26" t="s">
        <v>80</v>
      </c>
      <c r="B26" t="s">
        <v>44</v>
      </c>
      <c r="C26" t="s">
        <v>7</v>
      </c>
    </row>
    <row r="27" spans="1:3" x14ac:dyDescent="0.3">
      <c r="A27" t="s">
        <v>81</v>
      </c>
      <c r="B27" t="s">
        <v>41</v>
      </c>
      <c r="C27" t="s">
        <v>43</v>
      </c>
    </row>
    <row r="28" spans="1:3" x14ac:dyDescent="0.3">
      <c r="A28" t="s">
        <v>82</v>
      </c>
      <c r="B28" t="s">
        <v>19</v>
      </c>
      <c r="C28" t="s">
        <v>14</v>
      </c>
    </row>
    <row r="29" spans="1:3" x14ac:dyDescent="0.3">
      <c r="A29" t="s">
        <v>83</v>
      </c>
      <c r="B29" t="s">
        <v>20</v>
      </c>
      <c r="C29" t="s">
        <v>28</v>
      </c>
    </row>
    <row r="30" spans="1:3" x14ac:dyDescent="0.3">
      <c r="A30" t="s">
        <v>84</v>
      </c>
      <c r="B30" t="s">
        <v>16</v>
      </c>
      <c r="C30" t="s">
        <v>42</v>
      </c>
    </row>
    <row r="31" spans="1:3" x14ac:dyDescent="0.3">
      <c r="A31" t="s">
        <v>85</v>
      </c>
      <c r="B31" t="s">
        <v>37</v>
      </c>
      <c r="C31" t="s">
        <v>21</v>
      </c>
    </row>
    <row r="32" spans="1:3" x14ac:dyDescent="0.3">
      <c r="A32" t="s">
        <v>86</v>
      </c>
      <c r="B32" t="s">
        <v>12</v>
      </c>
      <c r="C32" t="s">
        <v>40</v>
      </c>
    </row>
    <row r="33" spans="1:3" x14ac:dyDescent="0.3">
      <c r="A33" t="s">
        <v>87</v>
      </c>
      <c r="B33" t="s">
        <v>36</v>
      </c>
      <c r="C33" t="s">
        <v>32</v>
      </c>
    </row>
    <row r="34" spans="1:3" x14ac:dyDescent="0.3">
      <c r="A34" t="s">
        <v>88</v>
      </c>
      <c r="B34" t="s">
        <v>17</v>
      </c>
      <c r="C34" t="s">
        <v>10</v>
      </c>
    </row>
    <row r="35" spans="1:3" x14ac:dyDescent="0.3">
      <c r="A35" t="s">
        <v>89</v>
      </c>
      <c r="B35" t="s">
        <v>37</v>
      </c>
      <c r="C35" t="s">
        <v>24</v>
      </c>
    </row>
    <row r="36" spans="1:3" x14ac:dyDescent="0.3">
      <c r="A36" t="s">
        <v>90</v>
      </c>
      <c r="B36" t="s">
        <v>21</v>
      </c>
      <c r="C36" t="s">
        <v>41</v>
      </c>
    </row>
    <row r="37" spans="1:3" x14ac:dyDescent="0.3">
      <c r="A37" t="s">
        <v>91</v>
      </c>
      <c r="B37" t="s">
        <v>14</v>
      </c>
      <c r="C37" t="s">
        <v>17</v>
      </c>
    </row>
    <row r="38" spans="1:3" x14ac:dyDescent="0.3">
      <c r="A38" t="s">
        <v>92</v>
      </c>
      <c r="B38" t="s">
        <v>37</v>
      </c>
      <c r="C38" t="s">
        <v>32</v>
      </c>
    </row>
    <row r="39" spans="1:3" x14ac:dyDescent="0.3">
      <c r="A39" t="s">
        <v>93</v>
      </c>
      <c r="B39" t="s">
        <v>26</v>
      </c>
      <c r="C39" t="s">
        <v>40</v>
      </c>
    </row>
    <row r="40" spans="1:3" x14ac:dyDescent="0.3">
      <c r="A40" t="s">
        <v>94</v>
      </c>
      <c r="B40" t="s">
        <v>43</v>
      </c>
      <c r="C40" t="s">
        <v>34</v>
      </c>
    </row>
    <row r="41" spans="1:3" x14ac:dyDescent="0.3">
      <c r="A41" t="s">
        <v>99</v>
      </c>
      <c r="B41" t="s">
        <v>30</v>
      </c>
      <c r="C41" t="s">
        <v>12</v>
      </c>
    </row>
    <row r="42" spans="1:3" x14ac:dyDescent="0.3">
      <c r="A42" t="s">
        <v>100</v>
      </c>
      <c r="B42" t="s">
        <v>15</v>
      </c>
      <c r="C42" t="s">
        <v>37</v>
      </c>
    </row>
    <row r="43" spans="1:3" x14ac:dyDescent="0.3">
      <c r="A43" t="s">
        <v>101</v>
      </c>
      <c r="B43" t="s">
        <v>29</v>
      </c>
      <c r="C43" t="s">
        <v>33</v>
      </c>
    </row>
    <row r="44" spans="1:3" x14ac:dyDescent="0.3">
      <c r="A44" t="s">
        <v>102</v>
      </c>
      <c r="B44" t="s">
        <v>18</v>
      </c>
      <c r="C44" t="s">
        <v>8</v>
      </c>
    </row>
    <row r="45" spans="1:3" x14ac:dyDescent="0.3">
      <c r="A45" t="s">
        <v>103</v>
      </c>
      <c r="B45" t="s">
        <v>23</v>
      </c>
      <c r="C45" t="s">
        <v>35</v>
      </c>
    </row>
    <row r="46" spans="1:3" x14ac:dyDescent="0.3">
      <c r="A46" t="s">
        <v>104</v>
      </c>
      <c r="B46" t="s">
        <v>40</v>
      </c>
      <c r="C4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Pipes</vt:lpstr>
      <vt:lpstr>Stations</vt:lpstr>
      <vt:lpstr>Arcs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</cp:lastModifiedBy>
  <dcterms:created xsi:type="dcterms:W3CDTF">2024-02-21T23:09:46Z</dcterms:created>
  <dcterms:modified xsi:type="dcterms:W3CDTF">2026-02-22T23:46:55Z</dcterms:modified>
</cp:coreProperties>
</file>